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/Users/nguyenkha/Desktop/Brand_Health_Analysis/"/>
    </mc:Choice>
  </mc:AlternateContent>
  <xr:revisionPtr revIDLastSave="0" documentId="13_ncr:1_{9C0944E3-C24E-5C4C-9599-B4EB6E42D9A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ata" sheetId="1" r:id="rId1"/>
    <sheet name="Pivot Table" sheetId="2" r:id="rId2"/>
  </sheet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</calcChain>
</file>

<file path=xl/sharedStrings.xml><?xml version="1.0" encoding="utf-8"?>
<sst xmlns="http://schemas.openxmlformats.org/spreadsheetml/2006/main" count="49" uniqueCount="21">
  <si>
    <t>hotel</t>
  </si>
  <si>
    <t>market_segment</t>
  </si>
  <si>
    <t>total_bookings</t>
  </si>
  <si>
    <t>cancellations</t>
  </si>
  <si>
    <t>avg_adr</t>
  </si>
  <si>
    <t>avg_lead_time</t>
  </si>
  <si>
    <t>cancellation_rate</t>
  </si>
  <si>
    <t>City Hotel</t>
  </si>
  <si>
    <t>Undefined</t>
  </si>
  <si>
    <t>Groups</t>
  </si>
  <si>
    <t>Offline TA/TO</t>
  </si>
  <si>
    <t>Resort Hotel</t>
  </si>
  <si>
    <t>Online TA</t>
  </si>
  <si>
    <t>Aviation</t>
  </si>
  <si>
    <t>Corporate</t>
  </si>
  <si>
    <t>Direct</t>
  </si>
  <si>
    <t>Complementary</t>
  </si>
  <si>
    <t>risk_flag</t>
  </si>
  <si>
    <t>Market Segment</t>
  </si>
  <si>
    <t>Hotel Type</t>
  </si>
  <si>
    <t>Avg. Cancellation Rate by Market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</si>
</sst>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64" fontId="0" fillId="0" borderId="0" xfId="1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Font="1" applyFill="1"/>
    <xf numFmtId="2" fontId="0" fillId="0" borderId="0" xfId="0" applyNumberFormat="1" applyAlignment="1"/>
  </cellXfs>
  <cellStyles count="2">
    <cellStyle name="Normal" xfId="0" builtinId="0"/>
    <cellStyle name="Percent" xfId="1" builtinId="5"/>
  </cellStyles>
  <dxfs count="17">
    <dxf>
      <numFmt numFmtId="2" formatCode="0.00"/>
      <alignment textRotation="0" wrapText="0" indent="0" justifyLastLine="0" shrinkToFit="0" readingOrder="0"/>
    </dxf>
    <dxf>
      <numFmt numFmtId="164" formatCode="0.0%"/>
      <alignment textRotation="0" wrapText="0" indent="0" justifyLastLine="0" shrinkToFit="0" readingOrder="0"/>
    </dxf>
    <dxf>
      <numFmt numFmtId="2" formatCode="0.00"/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4" formatCode="0.0%"/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1.9735" createdVersion="8" refreshedVersion="8" minRefreshableVersion="3" recordCount="14" xr:uid="{DEA724FC-9172-3D49-B11F-33CE2651D872}">
  <cacheSource type="worksheet">
    <worksheetSource name="Table1"/>
  </cacheSource>
  <cacheFields count="7">
    <cacheField name="hotel" numFmtId="0">
      <sharedItems count="2">
        <s v="City Hotel"/>
        <s v="Resort Hotel"/>
      </sharedItems>
    </cacheField>
    <cacheField name="market_segment" numFmtId="0">
      <sharedItems count="8">
        <s v="Undefined"/>
        <s v="Online TA"/>
        <s v="Offline TA/TO"/>
        <s v="Groups"/>
        <s v="Direct"/>
        <s v="Corporate"/>
        <s v="Complementary"/>
        <s v="Aviation"/>
      </sharedItems>
    </cacheField>
    <cacheField name="total_bookings" numFmtId="0">
      <sharedItems containsSemiMixedTypes="0" containsString="0" containsNumber="1" containsInteger="1" minValue="2" maxValue="38748"/>
    </cacheField>
    <cacheField name="cancellations" numFmtId="0">
      <sharedItems containsSemiMixedTypes="0" containsString="0" containsNumber="1" containsInteger="1" minValue="2" maxValue="14491"/>
    </cacheField>
    <cacheField name="avg_adr" numFmtId="0">
      <sharedItems containsSemiMixedTypes="0" containsString="0" containsNumber="1" minValue="2.6004243542435419" maxValue="119.47968160183819"/>
    </cacheField>
    <cacheField name="avg_lead_time" numFmtId="0">
      <sharedItems containsSemiMixedTypes="0" containsString="0" containsNumber="1" minValue="1.5" maxValue="195.22483005366729"/>
    </cacheField>
    <cacheField name="cancellation_rate" numFmtId="164">
      <sharedItems containsSemiMixedTypes="0" containsString="0" containsNumber="1" minValue="0.118081180811808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"/>
    <n v="2"/>
    <n v="15"/>
    <n v="1.5"/>
    <n v="1"/>
  </r>
  <r>
    <x v="0"/>
    <x v="1"/>
    <n v="38748"/>
    <n v="14491"/>
    <n v="118.919533395272"/>
    <n v="82.874161247032106"/>
    <n v="0.37398059254671212"/>
  </r>
  <r>
    <x v="1"/>
    <x v="1"/>
    <n v="17729"/>
    <n v="6248"/>
    <n v="113.4324801173219"/>
    <n v="83.270968469738847"/>
    <n v="0.35241694399007278"/>
  </r>
  <r>
    <x v="0"/>
    <x v="2"/>
    <n v="16747"/>
    <n v="7173"/>
    <n v="93.017659879381384"/>
    <n v="141.49710395891799"/>
    <n v="0.42831551919746819"/>
  </r>
  <r>
    <x v="1"/>
    <x v="2"/>
    <n v="7472"/>
    <n v="1138"/>
    <n v="74.662570931477518"/>
    <n v="120.45248929336189"/>
    <n v="0.1523019271948608"/>
  </r>
  <r>
    <x v="0"/>
    <x v="3"/>
    <n v="13975"/>
    <n v="9623"/>
    <n v="84.921884794275499"/>
    <n v="195.22483005366729"/>
    <n v="0.68858676207513414"/>
  </r>
  <r>
    <x v="1"/>
    <x v="3"/>
    <n v="5836"/>
    <n v="2474"/>
    <n v="66.446963673749138"/>
    <n v="167.21333104866349"/>
    <n v="0.42392049348869087"/>
  </r>
  <r>
    <x v="0"/>
    <x v="4"/>
    <n v="6093"/>
    <n v="1056"/>
    <n v="119.47968160183819"/>
    <n v="51.357295256852133"/>
    <n v="0.17331363860167409"/>
  </r>
  <r>
    <x v="1"/>
    <x v="4"/>
    <n v="6513"/>
    <n v="878"/>
    <n v="111.6708398587441"/>
    <n v="48.457546445570401"/>
    <n v="0.13480730846000311"/>
  </r>
  <r>
    <x v="0"/>
    <x v="5"/>
    <n v="2986"/>
    <n v="641"/>
    <n v="83.119979906229077"/>
    <n v="25.58037508372405"/>
    <n v="0.21466845277963831"/>
  </r>
  <r>
    <x v="1"/>
    <x v="5"/>
    <n v="2309"/>
    <n v="351"/>
    <n v="51.563183196188817"/>
    <n v="17.65786054569077"/>
    <n v="0.15201385881333909"/>
  </r>
  <r>
    <x v="1"/>
    <x v="6"/>
    <n v="201"/>
    <n v="33"/>
    <n v="3.6574129353233831"/>
    <n v="20.014925373134329"/>
    <n v="0.16417910447761189"/>
  </r>
  <r>
    <x v="0"/>
    <x v="6"/>
    <n v="542"/>
    <n v="64"/>
    <n v="2.6004243542435419"/>
    <n v="10.79151291512915"/>
    <n v="0.1180811808118081"/>
  </r>
  <r>
    <x v="0"/>
    <x v="7"/>
    <n v="237"/>
    <n v="52"/>
    <n v="100.1421097046414"/>
    <n v="4.443037974683544"/>
    <n v="0.21940928270042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8B135-FA48-8842-9FE7-AE5AEACDFE08}" name="PivotTable4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arket Segment" colHeaderCaption="Hotel Type">
  <location ref="A3:C12" firstHeaderRow="1" firstDataRow="2" firstDataCol="1"/>
  <pivotFields count="7">
    <pivotField axis="axisCol" showAll="0">
      <items count="3">
        <item x="0"/>
        <item x="1"/>
        <item t="default"/>
      </items>
    </pivotField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0"/>
  </colFields>
  <colItems count="2">
    <i>
      <x/>
    </i>
    <i>
      <x v="1"/>
    </i>
  </colItems>
  <dataFields count="1">
    <dataField name="Avg. Cancellation Rate by Market Segment" fld="6" subtotal="average" baseField="0" baseItem="0" numFmtId="164"/>
  </dataFields>
  <formats count="5">
    <format dxfId="8">
      <pivotArea type="origin" dataOnly="0" labelOnly="1" outline="0" fieldPosition="0"/>
    </format>
    <format dxfId="7">
      <pivotArea field="0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1FDD1-FA29-FD48-B367-0B0D5208C991}" name="Table1" displayName="Table1" ref="A1:H15" totalsRowShown="0" headerRowDxfId="11" dataDxfId="10" headerRowBorderDxfId="15" tableBorderDxfId="16">
  <autoFilter ref="A1:H15" xr:uid="{A9F1FDD1-FA29-FD48-B367-0B0D5208C991}"/>
  <sortState xmlns:xlrd2="http://schemas.microsoft.com/office/spreadsheetml/2017/richdata2" ref="A2:G15">
    <sortCondition descending="1" ref="B1:B15"/>
  </sortState>
  <tableColumns count="8">
    <tableColumn id="1" xr3:uid="{DA6499E4-2368-B349-B112-BDAB1C8C228D}" name="hotel" dataDxfId="14"/>
    <tableColumn id="2" xr3:uid="{E24E4A9B-2EEE-4444-B9FD-E35F626E935C}" name="market_segment" dataDxfId="13"/>
    <tableColumn id="3" xr3:uid="{40157219-D9EE-6C49-85C3-CE8E1A703801}" name="total_bookings" dataDxfId="12"/>
    <tableColumn id="4" xr3:uid="{9C23C6C8-FFAB-174A-9BE5-E7FAA29576EA}" name="cancellations" dataDxfId="3"/>
    <tableColumn id="5" xr3:uid="{9FF23AF0-66EC-384C-8A24-AA63AFA35335}" name="avg_adr" dataDxfId="2"/>
    <tableColumn id="6" xr3:uid="{18203529-351E-1740-830E-0BB96B2C3206}" name="avg_lead_time" dataDxfId="0"/>
    <tableColumn id="7" xr3:uid="{DD58C057-F822-6346-95B9-FF63DD5728B8}" name="cancellation_rate" dataDxfId="1" dataCellStyle="Percent"/>
    <tableColumn id="8" xr3:uid="{E6EF01D7-A9FF-394E-A65F-07574769BD1D}" name="risk_flag" dataDxfId="9">
      <calculatedColumnFormula>IF(Table1[[#This Row],[cancellation_rate]]&gt;0.4,"High Risk",IF(Table1[[#This Row],[cancellation_rate]]&gt;0.2,"Watch","OK"))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160" zoomScaleNormal="160" workbookViewId="0">
      <selection activeCell="F17" sqref="F17"/>
    </sheetView>
  </sheetViews>
  <sheetFormatPr baseColWidth="10" defaultColWidth="8.83203125" defaultRowHeight="15" x14ac:dyDescent="0.2"/>
  <cols>
    <col min="1" max="1" width="10.5" bestFit="1" customWidth="1"/>
    <col min="2" max="2" width="19.1640625" bestFit="1" customWidth="1"/>
    <col min="3" max="3" width="17.5" bestFit="1" customWidth="1"/>
    <col min="4" max="4" width="16.33203125" bestFit="1" customWidth="1"/>
    <col min="5" max="5" width="12.6640625" bestFit="1" customWidth="1"/>
    <col min="6" max="6" width="17.33203125" bestFit="1" customWidth="1"/>
    <col min="7" max="7" width="19.6640625" bestFit="1" customWidth="1"/>
    <col min="8" max="8" width="12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2">
      <c r="A2" s="2" t="s">
        <v>7</v>
      </c>
      <c r="B2" s="2" t="s">
        <v>8</v>
      </c>
      <c r="C2" s="2">
        <v>2</v>
      </c>
      <c r="D2" s="2">
        <v>2</v>
      </c>
      <c r="E2" s="7">
        <v>15</v>
      </c>
      <c r="F2" s="7">
        <v>1.5</v>
      </c>
      <c r="G2" s="3">
        <v>1</v>
      </c>
      <c r="H2" s="3" t="str">
        <f>IF(Table1[[#This Row],[cancellation_rate]]&gt;0.4,"High Risk",IF(Table1[[#This Row],[cancellation_rate]]&gt;0.2,"Watch","OK"))</f>
        <v>High Risk</v>
      </c>
    </row>
    <row r="3" spans="1:8" x14ac:dyDescent="0.2">
      <c r="A3" s="2" t="s">
        <v>7</v>
      </c>
      <c r="B3" s="2" t="s">
        <v>12</v>
      </c>
      <c r="C3" s="2">
        <v>38748</v>
      </c>
      <c r="D3" s="2">
        <v>14491</v>
      </c>
      <c r="E3" s="7">
        <v>118.919533395272</v>
      </c>
      <c r="F3" s="7">
        <v>82.874161247032106</v>
      </c>
      <c r="G3" s="3">
        <v>0.37398059254671212</v>
      </c>
      <c r="H3" s="3" t="str">
        <f>IF(Table1[[#This Row],[cancellation_rate]]&gt;0.4,"High Risk",IF(Table1[[#This Row],[cancellation_rate]]&gt;0.2,"Watch","OK"))</f>
        <v>Watch</v>
      </c>
    </row>
    <row r="4" spans="1:8" x14ac:dyDescent="0.2">
      <c r="A4" s="2" t="s">
        <v>11</v>
      </c>
      <c r="B4" s="2" t="s">
        <v>12</v>
      </c>
      <c r="C4" s="2">
        <v>17729</v>
      </c>
      <c r="D4" s="2">
        <v>6248</v>
      </c>
      <c r="E4" s="7">
        <v>113.4324801173219</v>
      </c>
      <c r="F4" s="7">
        <v>83.270968469738847</v>
      </c>
      <c r="G4" s="3">
        <v>0.35241694399007278</v>
      </c>
      <c r="H4" s="3" t="str">
        <f>IF(Table1[[#This Row],[cancellation_rate]]&gt;0.4,"High Risk",IF(Table1[[#This Row],[cancellation_rate]]&gt;0.2,"Watch","OK"))</f>
        <v>Watch</v>
      </c>
    </row>
    <row r="5" spans="1:8" x14ac:dyDescent="0.2">
      <c r="A5" s="2" t="s">
        <v>7</v>
      </c>
      <c r="B5" s="2" t="s">
        <v>10</v>
      </c>
      <c r="C5" s="2">
        <v>16747</v>
      </c>
      <c r="D5" s="2">
        <v>7173</v>
      </c>
      <c r="E5" s="7">
        <v>93.017659879381384</v>
      </c>
      <c r="F5" s="7">
        <v>141.49710395891799</v>
      </c>
      <c r="G5" s="3">
        <v>0.42831551919746819</v>
      </c>
      <c r="H5" s="3" t="str">
        <f>IF(Table1[[#This Row],[cancellation_rate]]&gt;0.4,"High Risk",IF(Table1[[#This Row],[cancellation_rate]]&gt;0.2,"Watch","OK"))</f>
        <v>High Risk</v>
      </c>
    </row>
    <row r="6" spans="1:8" x14ac:dyDescent="0.2">
      <c r="A6" s="2" t="s">
        <v>11</v>
      </c>
      <c r="B6" s="2" t="s">
        <v>10</v>
      </c>
      <c r="C6" s="2">
        <v>7472</v>
      </c>
      <c r="D6" s="2">
        <v>1138</v>
      </c>
      <c r="E6" s="7">
        <v>74.662570931477518</v>
      </c>
      <c r="F6" s="7">
        <v>120.45248929336189</v>
      </c>
      <c r="G6" s="3">
        <v>0.1523019271948608</v>
      </c>
      <c r="H6" s="3" t="str">
        <f>IF(Table1[[#This Row],[cancellation_rate]]&gt;0.4,"High Risk",IF(Table1[[#This Row],[cancellation_rate]]&gt;0.2,"Watch","OK"))</f>
        <v>OK</v>
      </c>
    </row>
    <row r="7" spans="1:8" x14ac:dyDescent="0.2">
      <c r="A7" s="2" t="s">
        <v>7</v>
      </c>
      <c r="B7" s="2" t="s">
        <v>9</v>
      </c>
      <c r="C7" s="2">
        <v>13975</v>
      </c>
      <c r="D7" s="2">
        <v>9623</v>
      </c>
      <c r="E7" s="7">
        <v>84.921884794275499</v>
      </c>
      <c r="F7" s="7">
        <v>195.22483005366729</v>
      </c>
      <c r="G7" s="3">
        <v>0.68858676207513414</v>
      </c>
      <c r="H7" s="3" t="str">
        <f>IF(Table1[[#This Row],[cancellation_rate]]&gt;0.4,"High Risk",IF(Table1[[#This Row],[cancellation_rate]]&gt;0.2,"Watch","OK"))</f>
        <v>High Risk</v>
      </c>
    </row>
    <row r="8" spans="1:8" x14ac:dyDescent="0.2">
      <c r="A8" s="2" t="s">
        <v>11</v>
      </c>
      <c r="B8" s="2" t="s">
        <v>9</v>
      </c>
      <c r="C8" s="2">
        <v>5836</v>
      </c>
      <c r="D8" s="2">
        <v>2474</v>
      </c>
      <c r="E8" s="7">
        <v>66.446963673749138</v>
      </c>
      <c r="F8" s="7">
        <v>167.21333104866349</v>
      </c>
      <c r="G8" s="3">
        <v>0.42392049348869087</v>
      </c>
      <c r="H8" s="3" t="str">
        <f>IF(Table1[[#This Row],[cancellation_rate]]&gt;0.4,"High Risk",IF(Table1[[#This Row],[cancellation_rate]]&gt;0.2,"Watch","OK"))</f>
        <v>High Risk</v>
      </c>
    </row>
    <row r="9" spans="1:8" x14ac:dyDescent="0.2">
      <c r="A9" s="2" t="s">
        <v>7</v>
      </c>
      <c r="B9" s="2" t="s">
        <v>15</v>
      </c>
      <c r="C9" s="2">
        <v>6093</v>
      </c>
      <c r="D9" s="2">
        <v>1056</v>
      </c>
      <c r="E9" s="7">
        <v>119.47968160183819</v>
      </c>
      <c r="F9" s="7">
        <v>51.357295256852133</v>
      </c>
      <c r="G9" s="3">
        <v>0.17331363860167409</v>
      </c>
      <c r="H9" s="3" t="str">
        <f>IF(Table1[[#This Row],[cancellation_rate]]&gt;0.4,"High Risk",IF(Table1[[#This Row],[cancellation_rate]]&gt;0.2,"Watch","OK"))</f>
        <v>OK</v>
      </c>
    </row>
    <row r="10" spans="1:8" x14ac:dyDescent="0.2">
      <c r="A10" s="2" t="s">
        <v>11</v>
      </c>
      <c r="B10" s="2" t="s">
        <v>15</v>
      </c>
      <c r="C10" s="2">
        <v>6513</v>
      </c>
      <c r="D10" s="2">
        <v>878</v>
      </c>
      <c r="E10" s="7">
        <v>111.6708398587441</v>
      </c>
      <c r="F10" s="7">
        <v>48.457546445570401</v>
      </c>
      <c r="G10" s="3">
        <v>0.13480730846000311</v>
      </c>
      <c r="H10" s="3" t="str">
        <f>IF(Table1[[#This Row],[cancellation_rate]]&gt;0.4,"High Risk",IF(Table1[[#This Row],[cancellation_rate]]&gt;0.2,"Watch","OK"))</f>
        <v>OK</v>
      </c>
    </row>
    <row r="11" spans="1:8" x14ac:dyDescent="0.2">
      <c r="A11" s="2" t="s">
        <v>7</v>
      </c>
      <c r="B11" s="2" t="s">
        <v>14</v>
      </c>
      <c r="C11" s="2">
        <v>2986</v>
      </c>
      <c r="D11" s="2">
        <v>641</v>
      </c>
      <c r="E11" s="7">
        <v>83.119979906229077</v>
      </c>
      <c r="F11" s="7">
        <v>25.58037508372405</v>
      </c>
      <c r="G11" s="3">
        <v>0.21466845277963831</v>
      </c>
      <c r="H11" s="3" t="str">
        <f>IF(Table1[[#This Row],[cancellation_rate]]&gt;0.4,"High Risk",IF(Table1[[#This Row],[cancellation_rate]]&gt;0.2,"Watch","OK"))</f>
        <v>Watch</v>
      </c>
    </row>
    <row r="12" spans="1:8" x14ac:dyDescent="0.2">
      <c r="A12" s="2" t="s">
        <v>11</v>
      </c>
      <c r="B12" s="2" t="s">
        <v>14</v>
      </c>
      <c r="C12" s="2">
        <v>2309</v>
      </c>
      <c r="D12" s="2">
        <v>351</v>
      </c>
      <c r="E12" s="7">
        <v>51.563183196188817</v>
      </c>
      <c r="F12" s="7">
        <v>17.65786054569077</v>
      </c>
      <c r="G12" s="3">
        <v>0.15201385881333909</v>
      </c>
      <c r="H12" s="3" t="str">
        <f>IF(Table1[[#This Row],[cancellation_rate]]&gt;0.4,"High Risk",IF(Table1[[#This Row],[cancellation_rate]]&gt;0.2,"Watch","OK"))</f>
        <v>OK</v>
      </c>
    </row>
    <row r="13" spans="1:8" x14ac:dyDescent="0.2">
      <c r="A13" s="2" t="s">
        <v>11</v>
      </c>
      <c r="B13" s="2" t="s">
        <v>16</v>
      </c>
      <c r="C13" s="2">
        <v>201</v>
      </c>
      <c r="D13" s="2">
        <v>33</v>
      </c>
      <c r="E13" s="7">
        <v>3.6574129353233831</v>
      </c>
      <c r="F13" s="7">
        <v>20.014925373134329</v>
      </c>
      <c r="G13" s="3">
        <v>0.16417910447761189</v>
      </c>
      <c r="H13" s="3" t="str">
        <f>IF(Table1[[#This Row],[cancellation_rate]]&gt;0.4,"High Risk",IF(Table1[[#This Row],[cancellation_rate]]&gt;0.2,"Watch","OK"))</f>
        <v>OK</v>
      </c>
    </row>
    <row r="14" spans="1:8" x14ac:dyDescent="0.2">
      <c r="A14" s="2" t="s">
        <v>7</v>
      </c>
      <c r="B14" s="2" t="s">
        <v>16</v>
      </c>
      <c r="C14" s="2">
        <v>542</v>
      </c>
      <c r="D14" s="2">
        <v>64</v>
      </c>
      <c r="E14" s="7">
        <v>2.6004243542435419</v>
      </c>
      <c r="F14" s="7">
        <v>10.79151291512915</v>
      </c>
      <c r="G14" s="3">
        <v>0.1180811808118081</v>
      </c>
      <c r="H14" s="3" t="str">
        <f>IF(Table1[[#This Row],[cancellation_rate]]&gt;0.4,"High Risk",IF(Table1[[#This Row],[cancellation_rate]]&gt;0.2,"Watch","OK"))</f>
        <v>OK</v>
      </c>
    </row>
    <row r="15" spans="1:8" x14ac:dyDescent="0.2">
      <c r="A15" s="2" t="s">
        <v>7</v>
      </c>
      <c r="B15" s="2" t="s">
        <v>13</v>
      </c>
      <c r="C15" s="2">
        <v>237</v>
      </c>
      <c r="D15" s="2">
        <v>52</v>
      </c>
      <c r="E15" s="7">
        <v>100.1421097046414</v>
      </c>
      <c r="F15" s="7">
        <v>4.443037974683544</v>
      </c>
      <c r="G15" s="3">
        <v>0.21940928270042201</v>
      </c>
      <c r="H15" s="3" t="str">
        <f>IF(Table1[[#This Row],[cancellation_rate]]&gt;0.4,"High Risk",IF(Table1[[#This Row],[cancellation_rate]]&gt;0.2,"Watch","OK"))</f>
        <v>Watch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69F5-DA1C-1948-A408-1F3E638878AD}">
  <dimension ref="A3:C12"/>
  <sheetViews>
    <sheetView showGridLines="0" zoomScale="160" zoomScaleNormal="160" workbookViewId="0">
      <selection activeCell="F19" sqref="F19"/>
    </sheetView>
  </sheetViews>
  <sheetFormatPr baseColWidth="10" defaultRowHeight="15" x14ac:dyDescent="0.2"/>
  <cols>
    <col min="1" max="1" width="35" bestFit="1" customWidth="1"/>
    <col min="2" max="2" width="14.83203125" bestFit="1" customWidth="1"/>
    <col min="3" max="3" width="10.83203125" bestFit="1" customWidth="1"/>
    <col min="4" max="4" width="10" bestFit="1" customWidth="1"/>
  </cols>
  <sheetData>
    <row r="3" spans="1:3" x14ac:dyDescent="0.2">
      <c r="A3" s="6" t="s">
        <v>20</v>
      </c>
      <c r="B3" s="6" t="s">
        <v>19</v>
      </c>
      <c r="C3" s="6"/>
    </row>
    <row r="4" spans="1:3" x14ac:dyDescent="0.2">
      <c r="A4" s="6" t="s">
        <v>18</v>
      </c>
      <c r="B4" s="6" t="s">
        <v>7</v>
      </c>
      <c r="C4" s="6" t="s">
        <v>11</v>
      </c>
    </row>
    <row r="5" spans="1:3" x14ac:dyDescent="0.2">
      <c r="A5" s="4" t="s">
        <v>13</v>
      </c>
      <c r="B5" s="5">
        <v>0.21940928270042201</v>
      </c>
      <c r="C5" s="5"/>
    </row>
    <row r="6" spans="1:3" x14ac:dyDescent="0.2">
      <c r="A6" s="4" t="s">
        <v>16</v>
      </c>
      <c r="B6" s="5">
        <v>0.1180811808118081</v>
      </c>
      <c r="C6" s="5">
        <v>0.16417910447761189</v>
      </c>
    </row>
    <row r="7" spans="1:3" x14ac:dyDescent="0.2">
      <c r="A7" s="4" t="s">
        <v>14</v>
      </c>
      <c r="B7" s="5">
        <v>0.21466845277963831</v>
      </c>
      <c r="C7" s="5">
        <v>0.15201385881333909</v>
      </c>
    </row>
    <row r="8" spans="1:3" x14ac:dyDescent="0.2">
      <c r="A8" s="4" t="s">
        <v>15</v>
      </c>
      <c r="B8" s="5">
        <v>0.17331363860167409</v>
      </c>
      <c r="C8" s="5">
        <v>0.13480730846000311</v>
      </c>
    </row>
    <row r="9" spans="1:3" x14ac:dyDescent="0.2">
      <c r="A9" s="4" t="s">
        <v>9</v>
      </c>
      <c r="B9" s="5">
        <v>0.68858676207513414</v>
      </c>
      <c r="C9" s="5">
        <v>0.42392049348869087</v>
      </c>
    </row>
    <row r="10" spans="1:3" x14ac:dyDescent="0.2">
      <c r="A10" s="4" t="s">
        <v>10</v>
      </c>
      <c r="B10" s="5">
        <v>0.42831551919746819</v>
      </c>
      <c r="C10" s="5">
        <v>0.1523019271948608</v>
      </c>
    </row>
    <row r="11" spans="1:3" x14ac:dyDescent="0.2">
      <c r="A11" s="4" t="s">
        <v>12</v>
      </c>
      <c r="B11" s="5">
        <v>0.37398059254671212</v>
      </c>
      <c r="C11" s="5">
        <v>0.35241694399007278</v>
      </c>
    </row>
    <row r="12" spans="1:3" x14ac:dyDescent="0.2">
      <c r="A12" s="4" t="s">
        <v>8</v>
      </c>
      <c r="B12" s="5">
        <v>1</v>
      </c>
      <c r="C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An Tam Kha</cp:lastModifiedBy>
  <dcterms:created xsi:type="dcterms:W3CDTF">2026-04-20T03:47:07Z</dcterms:created>
  <dcterms:modified xsi:type="dcterms:W3CDTF">2026-04-20T04:45:19Z</dcterms:modified>
</cp:coreProperties>
</file>